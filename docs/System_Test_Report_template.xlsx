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F608835-7C5D-45C5-9AD9-5655C72CE4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all Test Report" sheetId="2" r:id="rId1"/>
    <sheet name="Test Cases &amp; Results" sheetId="1" r:id="rId2"/>
    <sheet name="Enum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C6" i="2" l="1"/>
  <c r="C5" i="2"/>
  <c r="C4" i="2"/>
  <c r="C3" i="2" l="1"/>
</calcChain>
</file>

<file path=xl/sharedStrings.xml><?xml version="1.0" encoding="utf-8"?>
<sst xmlns="http://schemas.openxmlformats.org/spreadsheetml/2006/main" count="396" uniqueCount="215">
  <si>
    <t>Total Test Cases</t>
  </si>
  <si>
    <t xml:space="preserve">Passed </t>
  </si>
  <si>
    <t>Failed</t>
  </si>
  <si>
    <t>Not Tested</t>
  </si>
  <si>
    <t>TestCase_ID</t>
  </si>
  <si>
    <t>Requirement_ID</t>
  </si>
  <si>
    <t>Priority</t>
  </si>
  <si>
    <t>Description/Test Summary</t>
  </si>
  <si>
    <t>Pre-Condition</t>
  </si>
  <si>
    <t>Test Steps</t>
  </si>
  <si>
    <t>Expected Result</t>
  </si>
  <si>
    <t>Actual Result</t>
  </si>
  <si>
    <t>Test Result</t>
  </si>
  <si>
    <t>Mid Impact</t>
  </si>
  <si>
    <t>Pass</t>
  </si>
  <si>
    <t>Fail</t>
  </si>
  <si>
    <t>High Impact</t>
  </si>
  <si>
    <t>Low Impact</t>
  </si>
  <si>
    <t>Test that the water heater is activated if the water temperature is &lt; 100 Deg C</t>
  </si>
  <si>
    <t>Water temperature is &lt; 100 Deg C</t>
  </si>
  <si>
    <t>From the LCD main menu, select the option "Black Coffee"</t>
  </si>
  <si>
    <t>-Heating element is activated when water temperature is &lt; 100 Deg C</t>
  </si>
  <si>
    <t>REQ-06</t>
  </si>
  <si>
    <t>REQ-01</t>
  </si>
  <si>
    <t>Test that the LCD shows "Please scan your Identity card" when the system is turned on</t>
  </si>
  <si>
    <t>The system is turned on</t>
  </si>
  <si>
    <t>Provide power to the Raspberry Pi and run the main.py file using python main.py</t>
  </si>
  <si>
    <t>The LCD shows "Please scan your Identity card"</t>
  </si>
  <si>
    <t>REQ-02</t>
  </si>
  <si>
    <t>REQ-03</t>
  </si>
  <si>
    <t>REQ-04</t>
  </si>
  <si>
    <t xml:space="preserve">Test that once the user has scan their card, the Raspberry Pi scans the database for Profiles that match the ID. 
</t>
  </si>
  <si>
    <t>The user scans a QR code or Barcode with their id String embedded</t>
  </si>
  <si>
    <t>Use a QR code embedded with test account id "P2426082", bring it in front of the PiCam and let it scan</t>
  </si>
  <si>
    <t>Firebase should show that there has been a read command on its activity tracker</t>
  </si>
  <si>
    <t>REQ-05</t>
  </si>
  <si>
    <t xml:space="preserve">Test that if no match is found in REQ-02 the LCD should Display 
“No account found” </t>
  </si>
  <si>
    <t>The user scans a QR code or Barcode with a id embedded that is not in the system</t>
  </si>
  <si>
    <t>Use a QR code embedded with invalid account id (Giberrish will work), bring it in front of the PiCam and let it scan</t>
  </si>
  <si>
    <t>The LCD displays "No Account found"</t>
  </si>
  <si>
    <t>Test that if there is a match in REQ-02 the LCD should Display 
“1 –Collect Books 2- Return Books”</t>
  </si>
  <si>
    <t>The user scans a QR code or Barcode with a id embedded that is in the system</t>
  </si>
  <si>
    <t>Use a QR code embedded with a valid account id: test account is "P2426082", bring it in front of the PiCam and let it scan</t>
  </si>
  <si>
    <t>The LCD displays
“1 –Collect Books 2- Return Books”</t>
  </si>
  <si>
    <t>Test that in REQ-04 if option 1 is selected on the matrix keypad, REQ-06 is started</t>
  </si>
  <si>
    <t>Check that the database is checked out outstanding fines associated with this account</t>
  </si>
  <si>
    <t>The user selects 1 in the Matrix keypad from REQ-04</t>
  </si>
  <si>
    <t>REQ-07</t>
  </si>
  <si>
    <t>REQ-08</t>
  </si>
  <si>
    <t>REQ-09</t>
  </si>
  <si>
    <t>REQ-10</t>
  </si>
  <si>
    <t xml:space="preserve">Display on LCD "Pls tap card to pay xxx" if the user has a fine </t>
  </si>
  <si>
    <t>User must be fined with any amount of money. User must select collect book on the raspberry pi keypad</t>
  </si>
  <si>
    <t>Assign the account "P2426082" with a fine manually by hand, go through the previous tests and select 1 when asked  in REQ-04</t>
  </si>
  <si>
    <t xml:space="preserve">The LCD displays  "Pls tap card to pay xxx" </t>
  </si>
  <si>
    <t>Test that when the user taps his card, the fine is deducted from the card</t>
  </si>
  <si>
    <t>The user must go through REQ-08</t>
  </si>
  <si>
    <t>Fine is deducted from the card and the card balance goes down by the correct amount</t>
  </si>
  <si>
    <t>Test that Firebase updates and clears the account's fine</t>
  </si>
  <si>
    <t>The user must go through REQ-09</t>
  </si>
  <si>
    <t>Follow the same steps as test case 10, no additional steps required</t>
  </si>
  <si>
    <t>The fine amount on Firebase for the test account is set to 0</t>
  </si>
  <si>
    <t>REQ-11</t>
  </si>
  <si>
    <t>Test that if humidity is high, REQ-12 is carried out</t>
  </si>
  <si>
    <t>The humidity must be high at the humidity sensor</t>
  </si>
  <si>
    <t>Place a wet cloth or tissue on the humidity sensor and observe the output</t>
  </si>
  <si>
    <t>REQ-12 is carried out</t>
  </si>
  <si>
    <t>REQ-12</t>
  </si>
  <si>
    <t>Test that if humidity is high, Buzzer is beeped quickly for 3 seconds</t>
  </si>
  <si>
    <t>Humidity must be high at REQ-11</t>
  </si>
  <si>
    <t>Follow the same steps as test case 9 and then tap the RFID card on the reader</t>
  </si>
  <si>
    <t>Buzzer is beeped quickly for 3 seconds</t>
  </si>
  <si>
    <t>REQ-13</t>
  </si>
  <si>
    <t>Test motor is turned on to dispense book after past steps</t>
  </si>
  <si>
    <t>Test that LED is turned on for 3 seconds after humidity is high</t>
  </si>
  <si>
    <t xml:space="preserve">Test that LED is turned on for 3 seconds </t>
  </si>
  <si>
    <t xml:space="preserve">One of these must occur
- Humidity is high and the buzzer and LED has finished
-Humidity is not high </t>
  </si>
  <si>
    <t>Follow the same steps as test case 13, no additional steps required</t>
  </si>
  <si>
    <t>Follow the same steps as test case 12, no additional steps required</t>
  </si>
  <si>
    <t>Follow the same steps as test case 14, no additional steps required</t>
  </si>
  <si>
    <t>REQ-14</t>
  </si>
  <si>
    <t>Servo Motor turns 90 degrees for a few seconds and returns to its original position</t>
  </si>
  <si>
    <t>REQ-15</t>
  </si>
  <si>
    <t>Test after the servo motor returns to its original position, buzzer is beeped quickly for 3 seconds</t>
  </si>
  <si>
    <t>Servo motor must be back to its original position</t>
  </si>
  <si>
    <t>Follow the same steps as test case 15, no additional steps required</t>
  </si>
  <si>
    <t>REQ-16</t>
  </si>
  <si>
    <t xml:space="preserve">Test that the LCD shows "Please Scan Your Card" after the REQ-15 is completed </t>
  </si>
  <si>
    <t>The buzzer has finished beeping and firebase is updated</t>
  </si>
  <si>
    <t xml:space="preserve">Follow the same steps as test case 16, no additional steps required </t>
  </si>
  <si>
    <t>LCD displays "Please Scan Your Card"</t>
  </si>
  <si>
    <t>REQ-17</t>
  </si>
  <si>
    <t>Test that in REQ-04 if option 2 is selected on the matrix keypad, REQ-18 is started</t>
  </si>
  <si>
    <t>REQ-18</t>
  </si>
  <si>
    <t>The user selects 2 in the Matrix keypad from REQ-04</t>
  </si>
  <si>
    <t>LCD displays "Scan book, 0 to end"</t>
  </si>
  <si>
    <t>Test that the LCD shows "Scan book, 0 to end" after option 2 is selected</t>
  </si>
  <si>
    <t>REQ-19</t>
  </si>
  <si>
    <t xml:space="preserve">Test whether user enter 0 from matrix keypad </t>
  </si>
  <si>
    <t>REQ-20</t>
  </si>
  <si>
    <t>The user must go through REQ-18</t>
  </si>
  <si>
    <t>From the LCD main menu from REQ-18, enter 0</t>
  </si>
  <si>
    <t>If the 0 is pressed, REQ-29 is carried out, otherwise it continues to REQ-20</t>
  </si>
  <si>
    <t xml:space="preserve">Test if the barcode has been scanned </t>
  </si>
  <si>
    <t>The user must not press 0 in REQ-19</t>
  </si>
  <si>
    <t xml:space="preserve">The scanned QR code is later used to calculate fine and let the system proceeds to REQ-21 </t>
  </si>
  <si>
    <t>REQ-21</t>
  </si>
  <si>
    <t>REQ-22</t>
  </si>
  <si>
    <t>Test that if humidity is high, REQ-22 is carried out</t>
  </si>
  <si>
    <t>Humidity must be high at humidity sensor</t>
  </si>
  <si>
    <t>Humidity must be high at REQ-21</t>
  </si>
  <si>
    <t>REQ-23</t>
  </si>
  <si>
    <t>REQ-24</t>
  </si>
  <si>
    <t>Follow the same steps as test case 22, no additional steps required</t>
  </si>
  <si>
    <t xml:space="preserve">LED is turned on for 3 seconds </t>
  </si>
  <si>
    <t>Test that if the return date is late or not by checking from firebase data</t>
  </si>
  <si>
    <t>REQ-25</t>
  </si>
  <si>
    <t>REQ-26</t>
  </si>
  <si>
    <t xml:space="preserve">Test book loan date from firebase </t>
  </si>
  <si>
    <t>The user must scan the barcode in REQ-20</t>
  </si>
  <si>
    <t>Test the calculation of fine amount that need to be paid</t>
  </si>
  <si>
    <t>The return date must be considered late from REQ-25</t>
  </si>
  <si>
    <t xml:space="preserve">Test account in database is updated with additional fine </t>
  </si>
  <si>
    <t>REQ-27</t>
  </si>
  <si>
    <t>REQ-28</t>
  </si>
  <si>
    <t>REQ-29</t>
  </si>
  <si>
    <t>Test if the loan status of the account in firebase is removed</t>
  </si>
  <si>
    <t xml:space="preserve">Test that LCD shows the confirmation messeage after the loan status is removed </t>
  </si>
  <si>
    <t>The user must go through REQ-27</t>
  </si>
  <si>
    <t>LCD shows the confirmation message</t>
  </si>
  <si>
    <t xml:space="preserve">Test that the LCD shows "Please Scan Your Card" after the REQ-28 is completed </t>
  </si>
  <si>
    <t>The firebase is updated</t>
  </si>
  <si>
    <t xml:space="preserve">Follow the same steps as test case 29, no additional steps required </t>
  </si>
  <si>
    <t>Compare to see if the user has fine</t>
  </si>
  <si>
    <t>QR code must be detected by picam</t>
  </si>
  <si>
    <t>After REQ-04 1 must be pressed on keypad</t>
  </si>
  <si>
    <t>The LCD should display something else according to other REQ</t>
  </si>
  <si>
    <t>Manually associate an account "P2426082"with a fine 1 must be pressed on keypad then</t>
  </si>
  <si>
    <t>REQ-08 will be carried out</t>
  </si>
  <si>
    <t>REQ-08 is carried out</t>
  </si>
  <si>
    <t>REQ-06 must be successful</t>
  </si>
  <si>
    <t>Manually associate an account "P2426082"with a fine 1 must be pressed on keypad. Then clear the fine and redo</t>
  </si>
  <si>
    <t>REQ-08 will be carried out first, then REQ-11 for part 2</t>
  </si>
  <si>
    <t>System must be started and QR code must be scanned</t>
  </si>
  <si>
    <t>Start the system, Scan a QR code embedded with "P2426082" and then press 2</t>
  </si>
  <si>
    <t>REQ-18 Is carried out</t>
  </si>
  <si>
    <t xml:space="preserve">The fine is calculated and added to Firebase </t>
  </si>
  <si>
    <t>Chang a book return date back 1 month then
Follow the same steps as test case 22, no additional steps required</t>
  </si>
  <si>
    <t xml:space="preserve">The bookloan date is correctly retreived and a fine shows up in REQ-25 </t>
  </si>
  <si>
    <t>The user must scan the barcode in REQ-20 and go through the past steps</t>
  </si>
  <si>
    <t>Loan status of the test book in database is removed</t>
  </si>
  <si>
    <t>Change a book return date back 1 month then
Follow the same steps as test case 22, no additional steps required</t>
  </si>
  <si>
    <t>Go through past steps to loan a book then scan the qr code embedded with the loan book ID in REQ-20</t>
  </si>
  <si>
    <t>REQ-30</t>
  </si>
  <si>
    <t>REQ-31</t>
  </si>
  <si>
    <t>REQ-32</t>
  </si>
  <si>
    <t>REQ-33</t>
  </si>
  <si>
    <t>REQ-34</t>
  </si>
  <si>
    <t>REQ-35</t>
  </si>
  <si>
    <t>REQ-36</t>
  </si>
  <si>
    <t>REQ-37</t>
  </si>
  <si>
    <t>REQ-38</t>
  </si>
  <si>
    <t>REQ-39</t>
  </si>
  <si>
    <t>REQ-40</t>
  </si>
  <si>
    <t>REQ-41</t>
  </si>
  <si>
    <t>REQ-42</t>
  </si>
  <si>
    <t>REQ-43</t>
  </si>
  <si>
    <t>REQ-44</t>
  </si>
  <si>
    <t>REQ-45</t>
  </si>
  <si>
    <t>REQ-46</t>
  </si>
  <si>
    <t>REQ-47</t>
  </si>
  <si>
    <t>REQ-48</t>
  </si>
  <si>
    <t>REQ-49</t>
  </si>
  <si>
    <t>REQ-50</t>
  </si>
  <si>
    <t>REQ-51</t>
  </si>
  <si>
    <t>REQ-52</t>
  </si>
  <si>
    <t>REQ-53</t>
  </si>
  <si>
    <t>REQ-54</t>
  </si>
  <si>
    <t>REQ-55</t>
  </si>
  <si>
    <t>REQ-56</t>
  </si>
  <si>
    <t>REQ-57</t>
  </si>
  <si>
    <t>REQ-58</t>
  </si>
  <si>
    <t>REQ-59</t>
  </si>
  <si>
    <t>REQ-60</t>
  </si>
  <si>
    <t>REQ-61</t>
  </si>
  <si>
    <t>REQ-62</t>
  </si>
  <si>
    <t>REQ-63</t>
  </si>
  <si>
    <t>REQ-64</t>
  </si>
  <si>
    <t>REQ-65</t>
  </si>
  <si>
    <t>REQ-66</t>
  </si>
  <si>
    <t>REQ-67</t>
  </si>
  <si>
    <t>Test that App shall prompt user to input id and password or create an account if they haven’t</t>
  </si>
  <si>
    <t>App must be installed</t>
  </si>
  <si>
    <t>Open the app and press the "New to NLB? Sign Up!" text</t>
  </si>
  <si>
    <t>Rediect to sign up screen where user can input details</t>
  </si>
  <si>
    <t>Test that App shall prompt the user to scan Barcode using camera to get their id</t>
  </si>
  <si>
    <t>App must be installed and app permissions to camera must be given</t>
  </si>
  <si>
    <t>Open the app and press the "New to NLB? Sign Up!" text and press the camera button in the id text field then scan the id barcode</t>
  </si>
  <si>
    <t>Camera scans the barcode and id is auto inputted into the textfield</t>
  </si>
  <si>
    <t>Test that If user enter password in REQ-30 App shall check firebase for matching id and password</t>
  </si>
  <si>
    <t>Open the app and input the adm field "P2426082" and password "123"</t>
  </si>
  <si>
    <t>App redirects to main page</t>
  </si>
  <si>
    <t>Test that If match found in REQ-31 App shall let user into app</t>
  </si>
  <si>
    <t>App must be installed and account is created</t>
  </si>
  <si>
    <t>Test if If No match is found in REQ-31 App shall show a notification to user for wrong password</t>
  </si>
  <si>
    <t>Open the app and input random characters into the adm and password fields</t>
  </si>
  <si>
    <t xml:space="preserve">App shows a snackbar indicating wrong login details </t>
  </si>
  <si>
    <t xml:space="preserve">Test that From req-33, user should be prompted by 2 buttons 1 to reserve book and 1 to view borrowed books </t>
  </si>
  <si>
    <t>App must show 2 buttons in homepage</t>
  </si>
  <si>
    <t>App must show 2 buttons in homepage one to reserve and 1 to view loaned books</t>
  </si>
  <si>
    <t>Test that</t>
  </si>
  <si>
    <t>Test that If user selects to view borrowed books, A list of reserved books and their loaned dates, title and location should be shown to user</t>
  </si>
  <si>
    <t>App must be installed and account is created and logged in</t>
  </si>
  <si>
    <t>presses the view the view loaned books button</t>
  </si>
  <si>
    <t>App must show a list of boxes with the loaned/reserved book's date on loan, title and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</si>
</sst>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sz val="9"/>
      <color theme="1"/>
      <name val="Verdan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Overall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15-7D4E-8D76-89EEF6E3E1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15-7D4E-8D76-89EEF6E3E1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15-7D4E-8D76-89EEF6E3E121}"/>
              </c:ext>
            </c:extLst>
          </c:dPt>
          <c:cat>
            <c:strRef>
              <c:f>'Overall Test Report'!$B$4:$B$6</c:f>
              <c:strCache>
                <c:ptCount val="3"/>
                <c:pt idx="0">
                  <c:v>Passed </c:v>
                </c:pt>
                <c:pt idx="1">
                  <c:v>Failed</c:v>
                </c:pt>
                <c:pt idx="2">
                  <c:v>Not Tested</c:v>
                </c:pt>
              </c:strCache>
            </c:strRef>
          </c:cat>
          <c:val>
            <c:numRef>
              <c:f>'Overall Test Report'!$C$4:$C$6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5-3948-8FEF-E80B4437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65857392825895"/>
          <c:y val="0.8524300087489064"/>
          <c:w val="0.4554604111986002"/>
          <c:h val="0.1197922134733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820963</xdr:colOff>
      <xdr:row>8</xdr:row>
      <xdr:rowOff>84364</xdr:rowOff>
    </xdr:from>
    <xdr:to>
      <xdr:col>6</xdr:col>
      <xdr:colOff>181429</xdr:colOff>
      <xdr:row>23</xdr:row>
      <xdr:rowOff>99785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51DD0-30D4-0A41-BB24-6502CEBBA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6"/>
  <sheetViews>
    <sheetView zoomScale="129" workbookViewId="0">
      <selection activeCell="C3" sqref="C3"/>
    </sheetView>
  </sheetViews>
  <sheetFormatPr defaultColWidth="11.44140625" defaultRowHeight="14.4" x14ac:dyDescent="0.3"/>
  <cols>
    <col min="2" max="2" width="15.33203125" bestFit="1" customWidth="1"/>
  </cols>
  <sheetData>
    <row r="3" spans="2:3" x14ac:dyDescent="0.3">
      <c r="B3" s="3" t="s">
        <v>0</v>
      </c>
      <c r="C3" s="7">
        <f>COUNTIF('Test Cases &amp; Results'!B3:B127, "&lt;&gt;")</f>
        <v>70</v>
      </c>
    </row>
    <row r="4" spans="2:3" x14ac:dyDescent="0.3">
      <c r="B4" s="4" t="s">
        <v>1</v>
      </c>
      <c r="C4" s="7">
        <f>COUNTIF('Test Cases &amp; Results'!K3:K129, "Pass")</f>
        <v>9</v>
      </c>
    </row>
    <row r="5" spans="2:3" x14ac:dyDescent="0.3">
      <c r="B5" s="5" t="s">
        <v>2</v>
      </c>
      <c r="C5" s="7">
        <f>COUNTIF('Test Cases &amp; Results'!K3:K129, "Fail")</f>
        <v>0</v>
      </c>
    </row>
    <row r="6" spans="2:3" x14ac:dyDescent="0.3">
      <c r="B6" s="6" t="s">
        <v>3</v>
      </c>
      <c r="C6" s="7">
        <f>COUNTIF('Test Cases &amp; Results'!K3:K129, "Not Tested")</f>
        <v>78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28"/>
  <sheetViews>
    <sheetView tabSelected="1" topLeftCell="A37" zoomScale="115" zoomScaleNormal="115" workbookViewId="0">
      <selection activeCell="J39" sqref="J39"/>
    </sheetView>
  </sheetViews>
  <sheetFormatPr defaultColWidth="8.88671875" defaultRowHeight="14.4" x14ac:dyDescent="0.3"/>
  <cols>
    <col min="2" max="2" width="11.88671875" bestFit="1" customWidth="1"/>
    <col min="3" max="3" width="14" hidden="1" customWidth="1"/>
    <col min="4" max="4" width="15.6640625" bestFit="1" customWidth="1"/>
    <col min="5" max="5" width="12" customWidth="1"/>
    <col min="6" max="6" width="28.109375" customWidth="1"/>
    <col min="7" max="7" width="21.6640625" customWidth="1"/>
    <col min="8" max="8" width="25.33203125" bestFit="1" customWidth="1"/>
    <col min="9" max="9" width="20.44140625" customWidth="1"/>
    <col min="10" max="10" width="18.5546875" customWidth="1"/>
    <col min="11" max="11" width="12.5546875" style="10" customWidth="1"/>
  </cols>
  <sheetData>
    <row r="2" spans="2:11" x14ac:dyDescent="0.3">
      <c r="B2" s="1" t="s">
        <v>4</v>
      </c>
      <c r="C2" s="1" t="s">
        <v>5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8" t="s">
        <v>12</v>
      </c>
    </row>
    <row r="3" spans="2:11" ht="57" customHeight="1" x14ac:dyDescent="0.3">
      <c r="B3" s="2">
        <v>1</v>
      </c>
      <c r="C3" s="2">
        <v>1</v>
      </c>
      <c r="D3" s="2" t="s">
        <v>22</v>
      </c>
      <c r="E3" s="2" t="s">
        <v>13</v>
      </c>
      <c r="F3" s="2" t="s">
        <v>18</v>
      </c>
      <c r="G3" s="2" t="s">
        <v>19</v>
      </c>
      <c r="H3" s="11" t="s">
        <v>20</v>
      </c>
      <c r="I3" s="11" t="s">
        <v>21</v>
      </c>
      <c r="J3" s="11" t="s">
        <v>21</v>
      </c>
      <c r="K3" s="9" t="s">
        <v>14</v>
      </c>
    </row>
    <row r="4" spans="2:11" ht="45.6" x14ac:dyDescent="0.3">
      <c r="B4" s="2">
        <f>B3+1</f>
        <v>2</v>
      </c>
      <c r="C4" s="2"/>
      <c r="D4" s="2" t="s">
        <v>23</v>
      </c>
      <c r="E4" s="2" t="s">
        <v>17</v>
      </c>
      <c r="F4" s="2" t="s">
        <v>24</v>
      </c>
      <c r="G4" s="2" t="s">
        <v>25</v>
      </c>
      <c r="H4" s="11" t="s">
        <v>26</v>
      </c>
      <c r="I4" s="2" t="s">
        <v>27</v>
      </c>
      <c r="J4" s="2" t="s">
        <v>27</v>
      </c>
      <c r="K4" s="9" t="s">
        <v>14</v>
      </c>
    </row>
    <row r="5" spans="2:11" ht="57" x14ac:dyDescent="0.3">
      <c r="B5" s="2">
        <f t="shared" ref="B5:B20" si="0">B4+1</f>
        <v>3</v>
      </c>
      <c r="C5" s="2"/>
      <c r="D5" s="2" t="s">
        <v>28</v>
      </c>
      <c r="E5" s="2" t="s">
        <v>16</v>
      </c>
      <c r="F5" s="2" t="s">
        <v>31</v>
      </c>
      <c r="G5" s="2" t="s">
        <v>32</v>
      </c>
      <c r="H5" s="11" t="s">
        <v>33</v>
      </c>
      <c r="I5" s="2" t="s">
        <v>34</v>
      </c>
      <c r="J5" s="2" t="s">
        <v>34</v>
      </c>
      <c r="K5" s="9" t="s">
        <v>14</v>
      </c>
    </row>
    <row r="6" spans="2:11" ht="57" x14ac:dyDescent="0.3">
      <c r="B6" s="2">
        <f t="shared" si="0"/>
        <v>4</v>
      </c>
      <c r="C6" s="13"/>
      <c r="D6" s="2" t="s">
        <v>29</v>
      </c>
      <c r="E6" s="12" t="s">
        <v>17</v>
      </c>
      <c r="F6" s="12" t="s">
        <v>36</v>
      </c>
      <c r="G6" s="12" t="s">
        <v>37</v>
      </c>
      <c r="H6" s="12" t="s">
        <v>38</v>
      </c>
      <c r="I6" s="13" t="s">
        <v>39</v>
      </c>
      <c r="J6" s="13" t="s">
        <v>39</v>
      </c>
      <c r="K6" s="9" t="s">
        <v>14</v>
      </c>
    </row>
    <row r="7" spans="2:11" ht="57.6" x14ac:dyDescent="0.3">
      <c r="B7" s="2">
        <f t="shared" si="0"/>
        <v>5</v>
      </c>
      <c r="C7" s="13"/>
      <c r="D7" s="2" t="s">
        <v>30</v>
      </c>
      <c r="E7" s="13" t="s">
        <v>13</v>
      </c>
      <c r="F7" s="13" t="s">
        <v>40</v>
      </c>
      <c r="G7" s="12" t="s">
        <v>41</v>
      </c>
      <c r="H7" s="12" t="s">
        <v>42</v>
      </c>
      <c r="I7" s="13" t="s">
        <v>43</v>
      </c>
      <c r="J7" s="13" t="s">
        <v>43</v>
      </c>
      <c r="K7" s="9" t="s">
        <v>14</v>
      </c>
    </row>
    <row r="8" spans="2:11" ht="43.2" x14ac:dyDescent="0.3">
      <c r="B8" s="2">
        <f t="shared" si="0"/>
        <v>6</v>
      </c>
      <c r="C8" s="13"/>
      <c r="D8" s="2" t="s">
        <v>35</v>
      </c>
      <c r="E8" s="13" t="s">
        <v>16</v>
      </c>
      <c r="F8" s="13" t="s">
        <v>44</v>
      </c>
      <c r="G8" s="13" t="s">
        <v>134</v>
      </c>
      <c r="H8" s="13" t="s">
        <v>135</v>
      </c>
      <c r="I8" s="13" t="s">
        <v>136</v>
      </c>
      <c r="J8" s="13"/>
      <c r="K8" s="9" t="s">
        <v>3</v>
      </c>
    </row>
    <row r="9" spans="2:11" ht="57.6" x14ac:dyDescent="0.3">
      <c r="B9" s="2">
        <f t="shared" si="0"/>
        <v>7</v>
      </c>
      <c r="C9" s="13"/>
      <c r="D9" s="2" t="s">
        <v>22</v>
      </c>
      <c r="E9" s="13" t="s">
        <v>16</v>
      </c>
      <c r="F9" s="13" t="s">
        <v>45</v>
      </c>
      <c r="G9" s="13" t="s">
        <v>46</v>
      </c>
      <c r="H9" s="13" t="s">
        <v>137</v>
      </c>
      <c r="I9" s="13" t="s">
        <v>138</v>
      </c>
      <c r="J9" s="13" t="s">
        <v>139</v>
      </c>
      <c r="K9" s="9" t="s">
        <v>3</v>
      </c>
    </row>
    <row r="10" spans="2:11" ht="72" x14ac:dyDescent="0.3">
      <c r="B10" s="2">
        <f t="shared" si="0"/>
        <v>8</v>
      </c>
      <c r="C10" s="13"/>
      <c r="D10" s="2" t="s">
        <v>47</v>
      </c>
      <c r="E10" s="13" t="s">
        <v>16</v>
      </c>
      <c r="F10" s="13" t="s">
        <v>133</v>
      </c>
      <c r="G10" s="13" t="s">
        <v>140</v>
      </c>
      <c r="H10" s="13" t="s">
        <v>141</v>
      </c>
      <c r="I10" s="13" t="s">
        <v>142</v>
      </c>
      <c r="J10" s="13"/>
      <c r="K10" s="9" t="s">
        <v>3</v>
      </c>
    </row>
    <row r="11" spans="2:11" ht="83.4" customHeight="1" x14ac:dyDescent="0.3">
      <c r="B11" s="2">
        <f t="shared" si="0"/>
        <v>9</v>
      </c>
      <c r="C11" s="13"/>
      <c r="D11" s="2" t="s">
        <v>48</v>
      </c>
      <c r="E11" s="13" t="s">
        <v>17</v>
      </c>
      <c r="F11" s="13" t="s">
        <v>51</v>
      </c>
      <c r="G11" s="13" t="s">
        <v>52</v>
      </c>
      <c r="H11" s="13" t="s">
        <v>53</v>
      </c>
      <c r="I11" s="13" t="s">
        <v>54</v>
      </c>
      <c r="J11" s="13" t="s">
        <v>54</v>
      </c>
      <c r="K11" s="9" t="s">
        <v>14</v>
      </c>
    </row>
    <row r="12" spans="2:11" ht="72" x14ac:dyDescent="0.3">
      <c r="B12" s="2">
        <f t="shared" si="0"/>
        <v>10</v>
      </c>
      <c r="C12" s="13"/>
      <c r="D12" s="2" t="s">
        <v>49</v>
      </c>
      <c r="E12" s="13" t="s">
        <v>16</v>
      </c>
      <c r="F12" s="13" t="s">
        <v>55</v>
      </c>
      <c r="G12" s="13" t="s">
        <v>56</v>
      </c>
      <c r="H12" s="13" t="s">
        <v>70</v>
      </c>
      <c r="I12" s="13" t="s">
        <v>57</v>
      </c>
      <c r="J12" s="13" t="s">
        <v>57</v>
      </c>
      <c r="K12" s="9" t="s">
        <v>14</v>
      </c>
    </row>
    <row r="13" spans="2:11" ht="43.2" x14ac:dyDescent="0.3">
      <c r="B13" s="2">
        <f t="shared" si="0"/>
        <v>11</v>
      </c>
      <c r="C13" s="13"/>
      <c r="D13" s="2" t="s">
        <v>50</v>
      </c>
      <c r="E13" s="13" t="s">
        <v>16</v>
      </c>
      <c r="F13" s="13" t="s">
        <v>58</v>
      </c>
      <c r="G13" s="13" t="s">
        <v>59</v>
      </c>
      <c r="H13" s="13" t="s">
        <v>60</v>
      </c>
      <c r="I13" s="13" t="s">
        <v>61</v>
      </c>
      <c r="J13" s="13" t="s">
        <v>61</v>
      </c>
      <c r="K13" s="9" t="s">
        <v>14</v>
      </c>
    </row>
    <row r="14" spans="2:11" ht="43.2" x14ac:dyDescent="0.3">
      <c r="B14" s="2">
        <f t="shared" si="0"/>
        <v>12</v>
      </c>
      <c r="C14" s="13"/>
      <c r="D14" s="2" t="s">
        <v>62</v>
      </c>
      <c r="E14" s="13" t="s">
        <v>13</v>
      </c>
      <c r="F14" s="13" t="s">
        <v>63</v>
      </c>
      <c r="G14" s="13" t="s">
        <v>64</v>
      </c>
      <c r="H14" s="13" t="s">
        <v>65</v>
      </c>
      <c r="I14" s="13" t="s">
        <v>66</v>
      </c>
      <c r="J14" s="13" t="s">
        <v>66</v>
      </c>
      <c r="K14" s="9" t="s">
        <v>14</v>
      </c>
    </row>
    <row r="15" spans="2:11" ht="43.2" x14ac:dyDescent="0.3">
      <c r="B15" s="2">
        <f t="shared" si="0"/>
        <v>13</v>
      </c>
      <c r="C15" s="13"/>
      <c r="D15" s="2" t="s">
        <v>67</v>
      </c>
      <c r="E15" s="13" t="s">
        <v>17</v>
      </c>
      <c r="F15" s="13" t="s">
        <v>68</v>
      </c>
      <c r="G15" s="13" t="s">
        <v>69</v>
      </c>
      <c r="H15" s="13" t="s">
        <v>78</v>
      </c>
      <c r="I15" s="13" t="s">
        <v>71</v>
      </c>
      <c r="J15" s="13" t="s">
        <v>71</v>
      </c>
      <c r="K15" s="9" t="s">
        <v>3</v>
      </c>
    </row>
    <row r="16" spans="2:11" ht="43.2" x14ac:dyDescent="0.3">
      <c r="B16" s="2">
        <f t="shared" si="0"/>
        <v>14</v>
      </c>
      <c r="C16" s="13"/>
      <c r="D16" s="2" t="s">
        <v>72</v>
      </c>
      <c r="E16" s="13" t="s">
        <v>17</v>
      </c>
      <c r="F16" s="13" t="s">
        <v>74</v>
      </c>
      <c r="G16" s="13" t="s">
        <v>69</v>
      </c>
      <c r="H16" s="13" t="s">
        <v>77</v>
      </c>
      <c r="I16" s="13" t="s">
        <v>75</v>
      </c>
      <c r="J16" s="13" t="s">
        <v>75</v>
      </c>
      <c r="K16" s="9" t="s">
        <v>3</v>
      </c>
    </row>
    <row r="17" spans="2:11" ht="72" x14ac:dyDescent="0.3">
      <c r="B17" s="2">
        <f t="shared" si="0"/>
        <v>15</v>
      </c>
      <c r="C17" s="13"/>
      <c r="D17" s="2" t="s">
        <v>80</v>
      </c>
      <c r="E17" s="13" t="s">
        <v>16</v>
      </c>
      <c r="F17" s="13" t="s">
        <v>73</v>
      </c>
      <c r="G17" s="13" t="s">
        <v>76</v>
      </c>
      <c r="H17" s="13" t="s">
        <v>79</v>
      </c>
      <c r="I17" s="13" t="s">
        <v>81</v>
      </c>
      <c r="J17" s="13" t="s">
        <v>81</v>
      </c>
      <c r="K17" s="9" t="s">
        <v>3</v>
      </c>
    </row>
    <row r="18" spans="2:11" ht="57.6" x14ac:dyDescent="0.3">
      <c r="B18" s="2">
        <f t="shared" si="0"/>
        <v>16</v>
      </c>
      <c r="C18" s="13"/>
      <c r="D18" s="2" t="s">
        <v>82</v>
      </c>
      <c r="E18" s="13" t="s">
        <v>17</v>
      </c>
      <c r="F18" s="13" t="s">
        <v>83</v>
      </c>
      <c r="G18" s="13" t="s">
        <v>84</v>
      </c>
      <c r="H18" s="13" t="s">
        <v>85</v>
      </c>
      <c r="I18" s="13" t="s">
        <v>71</v>
      </c>
      <c r="J18" s="13" t="s">
        <v>71</v>
      </c>
      <c r="K18" s="9" t="s">
        <v>3</v>
      </c>
    </row>
    <row r="19" spans="2:11" ht="43.2" x14ac:dyDescent="0.3">
      <c r="B19" s="2">
        <f t="shared" si="0"/>
        <v>17</v>
      </c>
      <c r="C19" s="13"/>
      <c r="D19" s="2" t="s">
        <v>86</v>
      </c>
      <c r="E19" s="13" t="s">
        <v>16</v>
      </c>
      <c r="F19" s="13" t="s">
        <v>87</v>
      </c>
      <c r="G19" s="13" t="s">
        <v>88</v>
      </c>
      <c r="H19" s="13" t="s">
        <v>89</v>
      </c>
      <c r="I19" s="13" t="s">
        <v>90</v>
      </c>
      <c r="J19" s="13" t="s">
        <v>90</v>
      </c>
      <c r="K19" s="9" t="s">
        <v>3</v>
      </c>
    </row>
    <row r="20" spans="2:11" ht="43.2" x14ac:dyDescent="0.3">
      <c r="B20" s="2">
        <f t="shared" si="0"/>
        <v>18</v>
      </c>
      <c r="C20" s="13"/>
      <c r="D20" s="2" t="s">
        <v>91</v>
      </c>
      <c r="E20" s="13" t="s">
        <v>16</v>
      </c>
      <c r="F20" s="13" t="s">
        <v>92</v>
      </c>
      <c r="G20" s="13" t="s">
        <v>143</v>
      </c>
      <c r="H20" s="13" t="s">
        <v>144</v>
      </c>
      <c r="I20" s="13" t="s">
        <v>145</v>
      </c>
      <c r="J20" s="13" t="s">
        <v>95</v>
      </c>
      <c r="K20" s="9" t="s">
        <v>3</v>
      </c>
    </row>
    <row r="21" spans="2:11" ht="43.2" x14ac:dyDescent="0.3">
      <c r="B21" s="2">
        <f t="shared" ref="B21:B31" si="1">B20+1</f>
        <v>19</v>
      </c>
      <c r="C21" s="13"/>
      <c r="D21" s="2" t="s">
        <v>93</v>
      </c>
      <c r="E21" s="13" t="s">
        <v>16</v>
      </c>
      <c r="F21" s="13" t="s">
        <v>96</v>
      </c>
      <c r="G21" s="13" t="s">
        <v>94</v>
      </c>
      <c r="H21" s="13" t="s">
        <v>144</v>
      </c>
      <c r="I21" s="13" t="s">
        <v>95</v>
      </c>
      <c r="J21" s="13" t="s">
        <v>95</v>
      </c>
      <c r="K21" s="9" t="s">
        <v>3</v>
      </c>
    </row>
    <row r="22" spans="2:11" ht="57.6" x14ac:dyDescent="0.3">
      <c r="B22" s="2">
        <f t="shared" si="1"/>
        <v>20</v>
      </c>
      <c r="C22" s="13"/>
      <c r="D22" s="2" t="s">
        <v>97</v>
      </c>
      <c r="E22" s="13" t="s">
        <v>16</v>
      </c>
      <c r="F22" s="13" t="s">
        <v>98</v>
      </c>
      <c r="G22" s="13" t="s">
        <v>100</v>
      </c>
      <c r="H22" s="13" t="s">
        <v>101</v>
      </c>
      <c r="I22" s="13" t="s">
        <v>102</v>
      </c>
      <c r="J22" s="13" t="s">
        <v>102</v>
      </c>
      <c r="K22" s="9" t="s">
        <v>3</v>
      </c>
    </row>
    <row r="23" spans="2:11" ht="72" x14ac:dyDescent="0.3">
      <c r="B23" s="2">
        <f t="shared" si="1"/>
        <v>21</v>
      </c>
      <c r="C23" s="13"/>
      <c r="D23" s="2" t="s">
        <v>99</v>
      </c>
      <c r="E23" s="13" t="s">
        <v>16</v>
      </c>
      <c r="F23" s="13" t="s">
        <v>103</v>
      </c>
      <c r="G23" s="13" t="s">
        <v>104</v>
      </c>
      <c r="H23" s="12" t="s">
        <v>42</v>
      </c>
      <c r="I23" s="13" t="s">
        <v>105</v>
      </c>
      <c r="J23" s="13" t="s">
        <v>105</v>
      </c>
      <c r="K23" s="9" t="s">
        <v>3</v>
      </c>
    </row>
    <row r="24" spans="2:11" ht="43.2" x14ac:dyDescent="0.3">
      <c r="B24" s="2">
        <f t="shared" si="1"/>
        <v>22</v>
      </c>
      <c r="C24" s="13"/>
      <c r="D24" s="2" t="s">
        <v>106</v>
      </c>
      <c r="E24" s="13" t="s">
        <v>13</v>
      </c>
      <c r="F24" s="13" t="s">
        <v>108</v>
      </c>
      <c r="G24" s="13" t="s">
        <v>109</v>
      </c>
      <c r="H24" s="13" t="s">
        <v>65</v>
      </c>
      <c r="I24" s="13" t="s">
        <v>71</v>
      </c>
      <c r="J24" s="13" t="s">
        <v>71</v>
      </c>
      <c r="K24" s="9" t="s">
        <v>3</v>
      </c>
    </row>
    <row r="25" spans="2:11" ht="43.2" x14ac:dyDescent="0.3">
      <c r="B25" s="2">
        <f t="shared" si="1"/>
        <v>23</v>
      </c>
      <c r="C25" s="13"/>
      <c r="D25" s="2" t="s">
        <v>107</v>
      </c>
      <c r="E25" s="13" t="s">
        <v>17</v>
      </c>
      <c r="F25" s="13" t="s">
        <v>68</v>
      </c>
      <c r="G25" s="13" t="s">
        <v>110</v>
      </c>
      <c r="H25" s="13" t="s">
        <v>113</v>
      </c>
      <c r="I25" s="13" t="s">
        <v>71</v>
      </c>
      <c r="J25" s="13" t="s">
        <v>71</v>
      </c>
      <c r="K25" s="9" t="s">
        <v>3</v>
      </c>
    </row>
    <row r="26" spans="2:11" ht="43.2" x14ac:dyDescent="0.3">
      <c r="B26" s="2">
        <f t="shared" si="1"/>
        <v>24</v>
      </c>
      <c r="C26" s="14"/>
      <c r="D26" s="2" t="s">
        <v>111</v>
      </c>
      <c r="E26" s="13" t="s">
        <v>17</v>
      </c>
      <c r="F26" s="13" t="s">
        <v>74</v>
      </c>
      <c r="G26" s="13" t="s">
        <v>110</v>
      </c>
      <c r="H26" s="13" t="s">
        <v>113</v>
      </c>
      <c r="I26" s="13" t="s">
        <v>114</v>
      </c>
      <c r="J26" s="13" t="s">
        <v>114</v>
      </c>
      <c r="K26" s="9" t="s">
        <v>3</v>
      </c>
    </row>
    <row r="27" spans="2:11" ht="72" x14ac:dyDescent="0.3">
      <c r="B27" s="2">
        <f t="shared" si="1"/>
        <v>25</v>
      </c>
      <c r="C27" s="14"/>
      <c r="D27" s="2" t="s">
        <v>112</v>
      </c>
      <c r="E27" s="13" t="s">
        <v>16</v>
      </c>
      <c r="F27" s="13" t="s">
        <v>118</v>
      </c>
      <c r="G27" s="13" t="s">
        <v>119</v>
      </c>
      <c r="H27" s="13" t="s">
        <v>147</v>
      </c>
      <c r="I27" s="13" t="s">
        <v>148</v>
      </c>
      <c r="J27" s="13" t="s">
        <v>148</v>
      </c>
      <c r="K27" s="9" t="s">
        <v>3</v>
      </c>
    </row>
    <row r="28" spans="2:11" ht="72" x14ac:dyDescent="0.3">
      <c r="B28" s="2">
        <f t="shared" si="1"/>
        <v>26</v>
      </c>
      <c r="C28" s="14"/>
      <c r="D28" s="2" t="s">
        <v>116</v>
      </c>
      <c r="E28" s="13" t="s">
        <v>16</v>
      </c>
      <c r="F28" s="13" t="s">
        <v>115</v>
      </c>
      <c r="G28" s="13" t="s">
        <v>119</v>
      </c>
      <c r="H28" s="13" t="s">
        <v>147</v>
      </c>
      <c r="I28" s="13" t="s">
        <v>146</v>
      </c>
      <c r="J28" s="13" t="s">
        <v>146</v>
      </c>
      <c r="K28" s="9" t="s">
        <v>3</v>
      </c>
    </row>
    <row r="29" spans="2:11" ht="72" x14ac:dyDescent="0.3">
      <c r="B29" s="2">
        <f>B28+1</f>
        <v>27</v>
      </c>
      <c r="C29" s="14"/>
      <c r="D29" s="2" t="s">
        <v>117</v>
      </c>
      <c r="E29" s="13" t="s">
        <v>16</v>
      </c>
      <c r="F29" s="13" t="s">
        <v>120</v>
      </c>
      <c r="G29" s="13" t="s">
        <v>121</v>
      </c>
      <c r="H29" s="13" t="s">
        <v>151</v>
      </c>
      <c r="I29" s="13" t="s">
        <v>122</v>
      </c>
      <c r="J29" s="13" t="s">
        <v>122</v>
      </c>
      <c r="K29" s="9" t="s">
        <v>3</v>
      </c>
    </row>
    <row r="30" spans="2:11" ht="57.6" x14ac:dyDescent="0.3">
      <c r="B30" s="2">
        <f t="shared" si="1"/>
        <v>28</v>
      </c>
      <c r="C30" s="14"/>
      <c r="D30" s="2" t="s">
        <v>123</v>
      </c>
      <c r="E30" s="13" t="s">
        <v>16</v>
      </c>
      <c r="F30" s="13" t="s">
        <v>126</v>
      </c>
      <c r="G30" s="13" t="s">
        <v>149</v>
      </c>
      <c r="H30" s="13" t="s">
        <v>152</v>
      </c>
      <c r="I30" s="13" t="s">
        <v>150</v>
      </c>
      <c r="J30" s="13" t="s">
        <v>150</v>
      </c>
      <c r="K30" s="9" t="s">
        <v>3</v>
      </c>
    </row>
    <row r="31" spans="2:11" ht="57.6" x14ac:dyDescent="0.3">
      <c r="B31" s="2">
        <f t="shared" si="1"/>
        <v>29</v>
      </c>
      <c r="C31" s="14"/>
      <c r="D31" s="2" t="s">
        <v>124</v>
      </c>
      <c r="E31" s="13" t="s">
        <v>17</v>
      </c>
      <c r="F31" s="13" t="s">
        <v>127</v>
      </c>
      <c r="G31" s="13" t="s">
        <v>128</v>
      </c>
      <c r="H31" s="13" t="s">
        <v>152</v>
      </c>
      <c r="I31" s="13" t="s">
        <v>129</v>
      </c>
      <c r="J31" s="13" t="s">
        <v>129</v>
      </c>
      <c r="K31" s="9" t="s">
        <v>3</v>
      </c>
    </row>
    <row r="32" spans="2:11" ht="43.2" x14ac:dyDescent="0.3">
      <c r="B32" s="2">
        <v>30</v>
      </c>
      <c r="C32" s="14"/>
      <c r="D32" s="2" t="s">
        <v>125</v>
      </c>
      <c r="E32" s="13" t="s">
        <v>16</v>
      </c>
      <c r="F32" s="13" t="s">
        <v>130</v>
      </c>
      <c r="G32" s="13" t="s">
        <v>131</v>
      </c>
      <c r="H32" s="13" t="s">
        <v>132</v>
      </c>
      <c r="I32" s="13" t="s">
        <v>90</v>
      </c>
      <c r="J32" s="13" t="s">
        <v>90</v>
      </c>
      <c r="K32" s="9" t="s">
        <v>3</v>
      </c>
    </row>
    <row r="33" spans="2:11" ht="43.8" thickBot="1" x14ac:dyDescent="0.35">
      <c r="B33" s="2">
        <v>31</v>
      </c>
      <c r="C33" s="14"/>
      <c r="D33" s="2" t="s">
        <v>153</v>
      </c>
      <c r="E33" s="13" t="s">
        <v>16</v>
      </c>
      <c r="F33" s="13" t="s">
        <v>191</v>
      </c>
      <c r="G33" s="13" t="s">
        <v>192</v>
      </c>
      <c r="H33" s="13" t="s">
        <v>193</v>
      </c>
      <c r="I33" s="13" t="s">
        <v>194</v>
      </c>
      <c r="J33" s="13" t="s">
        <v>194</v>
      </c>
      <c r="K33" s="9" t="s">
        <v>3</v>
      </c>
    </row>
    <row r="34" spans="2:11" ht="72.599999999999994" thickBot="1" x14ac:dyDescent="0.35">
      <c r="B34" s="2">
        <v>32</v>
      </c>
      <c r="C34" s="14"/>
      <c r="D34" s="2" t="s">
        <v>154</v>
      </c>
      <c r="E34" s="13" t="s">
        <v>17</v>
      </c>
      <c r="F34" s="15" t="s">
        <v>195</v>
      </c>
      <c r="G34" s="13" t="s">
        <v>196</v>
      </c>
      <c r="H34" s="13" t="s">
        <v>197</v>
      </c>
      <c r="I34" s="13" t="s">
        <v>198</v>
      </c>
      <c r="J34" s="13" t="s">
        <v>198</v>
      </c>
      <c r="K34" s="9" t="s">
        <v>3</v>
      </c>
    </row>
    <row r="35" spans="2:11" ht="58.2" thickBot="1" x14ac:dyDescent="0.35">
      <c r="B35" s="2">
        <v>33</v>
      </c>
      <c r="C35" s="14"/>
      <c r="D35" s="2" t="s">
        <v>155</v>
      </c>
      <c r="E35" s="13" t="s">
        <v>16</v>
      </c>
      <c r="F35" s="13" t="s">
        <v>199</v>
      </c>
      <c r="G35" s="13" t="s">
        <v>192</v>
      </c>
      <c r="H35" s="13" t="s">
        <v>200</v>
      </c>
      <c r="I35" s="13" t="s">
        <v>201</v>
      </c>
      <c r="J35" s="13" t="s">
        <v>201</v>
      </c>
      <c r="K35" s="9" t="s">
        <v>3</v>
      </c>
    </row>
    <row r="36" spans="2:11" ht="43.8" thickBot="1" x14ac:dyDescent="0.35">
      <c r="B36" s="2">
        <v>34</v>
      </c>
      <c r="C36" s="14"/>
      <c r="D36" s="2" t="s">
        <v>156</v>
      </c>
      <c r="E36" s="13" t="s">
        <v>16</v>
      </c>
      <c r="F36" s="15" t="s">
        <v>202</v>
      </c>
      <c r="G36" s="13" t="s">
        <v>203</v>
      </c>
      <c r="H36" s="13" t="s">
        <v>200</v>
      </c>
      <c r="I36" s="13" t="s">
        <v>201</v>
      </c>
      <c r="J36" s="13" t="s">
        <v>201</v>
      </c>
      <c r="K36" s="9" t="s">
        <v>3</v>
      </c>
    </row>
    <row r="37" spans="2:11" ht="57.6" x14ac:dyDescent="0.3">
      <c r="B37" s="2">
        <v>35</v>
      </c>
      <c r="C37" s="14"/>
      <c r="D37" s="2" t="s">
        <v>157</v>
      </c>
      <c r="E37" s="13" t="s">
        <v>16</v>
      </c>
      <c r="F37" s="13" t="s">
        <v>204</v>
      </c>
      <c r="G37" s="13" t="s">
        <v>192</v>
      </c>
      <c r="H37" s="13" t="s">
        <v>205</v>
      </c>
      <c r="I37" s="13" t="s">
        <v>206</v>
      </c>
      <c r="J37" s="13" t="s">
        <v>206</v>
      </c>
      <c r="K37" s="9" t="s">
        <v>3</v>
      </c>
    </row>
    <row r="38" spans="2:11" ht="57.6" x14ac:dyDescent="0.3">
      <c r="B38" s="2">
        <v>36</v>
      </c>
      <c r="C38" s="14"/>
      <c r="D38" s="2" t="s">
        <v>158</v>
      </c>
      <c r="E38" s="13" t="s">
        <v>16</v>
      </c>
      <c r="F38" s="13" t="s">
        <v>207</v>
      </c>
      <c r="G38" s="13" t="s">
        <v>203</v>
      </c>
      <c r="H38" s="13" t="s">
        <v>200</v>
      </c>
      <c r="I38" s="13" t="s">
        <v>209</v>
      </c>
      <c r="J38" s="13" t="s">
        <v>208</v>
      </c>
      <c r="K38" s="9" t="s">
        <v>3</v>
      </c>
    </row>
    <row r="39" spans="2:11" ht="72" x14ac:dyDescent="0.3">
      <c r="B39" s="2">
        <v>37</v>
      </c>
      <c r="C39" s="14"/>
      <c r="D39" s="2" t="s">
        <v>159</v>
      </c>
      <c r="E39" s="13" t="s">
        <v>13</v>
      </c>
      <c r="F39" s="13" t="s">
        <v>211</v>
      </c>
      <c r="G39" s="13" t="s">
        <v>212</v>
      </c>
      <c r="H39" s="13" t="s">
        <v>213</v>
      </c>
      <c r="I39" s="13" t="s">
        <v>214</v>
      </c>
      <c r="J39" s="13" t="s">
        <v>214</v>
      </c>
      <c r="K39" s="9" t="s">
        <v>3</v>
      </c>
    </row>
    <row r="40" spans="2:11" x14ac:dyDescent="0.3">
      <c r="B40" s="2">
        <v>38</v>
      </c>
      <c r="C40" s="14"/>
      <c r="D40" s="2" t="s">
        <v>160</v>
      </c>
      <c r="E40" s="13"/>
      <c r="F40" s="13" t="s">
        <v>210</v>
      </c>
      <c r="G40" s="13"/>
      <c r="H40" s="13"/>
      <c r="I40" s="13"/>
      <c r="J40" s="13"/>
      <c r="K40" s="9" t="s">
        <v>3</v>
      </c>
    </row>
    <row r="41" spans="2:11" x14ac:dyDescent="0.3">
      <c r="B41" s="2">
        <v>39</v>
      </c>
      <c r="C41" s="14"/>
      <c r="D41" s="2" t="s">
        <v>161</v>
      </c>
      <c r="E41" s="13"/>
      <c r="F41" s="13"/>
      <c r="G41" s="13"/>
      <c r="H41" s="13"/>
      <c r="I41" s="13"/>
      <c r="J41" s="13"/>
      <c r="K41" s="9" t="s">
        <v>3</v>
      </c>
    </row>
    <row r="42" spans="2:11" x14ac:dyDescent="0.3">
      <c r="B42" s="2">
        <v>40</v>
      </c>
      <c r="C42" s="14"/>
      <c r="D42" s="2" t="s">
        <v>162</v>
      </c>
      <c r="E42" s="13"/>
      <c r="F42" s="13"/>
      <c r="G42" s="13"/>
      <c r="H42" s="13"/>
      <c r="I42" s="13"/>
      <c r="J42" s="13"/>
      <c r="K42" s="9" t="s">
        <v>3</v>
      </c>
    </row>
    <row r="43" spans="2:11" x14ac:dyDescent="0.3">
      <c r="B43" s="2">
        <v>41</v>
      </c>
      <c r="C43" s="14"/>
      <c r="D43" s="2" t="s">
        <v>163</v>
      </c>
      <c r="E43" s="13"/>
      <c r="F43" s="13"/>
      <c r="G43" s="13"/>
      <c r="H43" s="13"/>
      <c r="I43" s="13"/>
      <c r="J43" s="13"/>
      <c r="K43" s="9" t="s">
        <v>3</v>
      </c>
    </row>
    <row r="44" spans="2:11" x14ac:dyDescent="0.3">
      <c r="B44" s="2">
        <v>42</v>
      </c>
      <c r="C44" s="14"/>
      <c r="D44" s="2" t="s">
        <v>164</v>
      </c>
      <c r="E44" s="13"/>
      <c r="F44" s="13"/>
      <c r="G44" s="13"/>
      <c r="H44" s="13"/>
      <c r="I44" s="13"/>
      <c r="J44" s="13"/>
      <c r="K44" s="9" t="s">
        <v>3</v>
      </c>
    </row>
    <row r="45" spans="2:11" x14ac:dyDescent="0.3">
      <c r="B45" s="2">
        <v>43</v>
      </c>
      <c r="C45" s="14"/>
      <c r="D45" s="2" t="s">
        <v>165</v>
      </c>
      <c r="E45" s="13"/>
      <c r="F45" s="13"/>
      <c r="G45" s="13"/>
      <c r="H45" s="13"/>
      <c r="I45" s="13"/>
      <c r="J45" s="13"/>
      <c r="K45" s="9" t="s">
        <v>3</v>
      </c>
    </row>
    <row r="46" spans="2:11" x14ac:dyDescent="0.3">
      <c r="B46" s="2">
        <v>44</v>
      </c>
      <c r="C46" s="14"/>
      <c r="D46" s="2" t="s">
        <v>166</v>
      </c>
      <c r="E46" s="13"/>
      <c r="F46" s="13"/>
      <c r="G46" s="13"/>
      <c r="H46" s="13"/>
      <c r="I46" s="13"/>
      <c r="J46" s="13"/>
      <c r="K46" s="9" t="s">
        <v>3</v>
      </c>
    </row>
    <row r="47" spans="2:11" x14ac:dyDescent="0.3">
      <c r="B47" s="2">
        <v>45</v>
      </c>
      <c r="C47" s="14"/>
      <c r="D47" s="2" t="s">
        <v>167</v>
      </c>
      <c r="E47" s="13"/>
      <c r="F47" s="13"/>
      <c r="G47" s="13"/>
      <c r="H47" s="13"/>
      <c r="I47" s="13"/>
      <c r="J47" s="13"/>
      <c r="K47" s="9" t="s">
        <v>3</v>
      </c>
    </row>
    <row r="48" spans="2:11" x14ac:dyDescent="0.3">
      <c r="B48" s="2">
        <v>46</v>
      </c>
      <c r="C48" s="14"/>
      <c r="D48" s="2" t="s">
        <v>168</v>
      </c>
      <c r="E48" s="13"/>
      <c r="F48" s="13"/>
      <c r="G48" s="13"/>
      <c r="H48" s="13"/>
      <c r="I48" s="13"/>
      <c r="J48" s="13"/>
      <c r="K48" s="9" t="s">
        <v>3</v>
      </c>
    </row>
    <row r="49" spans="2:11" x14ac:dyDescent="0.3">
      <c r="B49" s="2">
        <v>47</v>
      </c>
      <c r="C49" s="14"/>
      <c r="D49" s="2" t="s">
        <v>169</v>
      </c>
      <c r="E49" s="13"/>
      <c r="F49" s="13"/>
      <c r="G49" s="13"/>
      <c r="H49" s="13"/>
      <c r="I49" s="13"/>
      <c r="J49" s="13"/>
      <c r="K49" s="9" t="s">
        <v>3</v>
      </c>
    </row>
    <row r="50" spans="2:11" x14ac:dyDescent="0.3">
      <c r="B50" s="2">
        <v>48</v>
      </c>
      <c r="C50" s="14"/>
      <c r="D50" s="2" t="s">
        <v>170</v>
      </c>
      <c r="E50" s="13"/>
      <c r="F50" s="13"/>
      <c r="G50" s="13"/>
      <c r="H50" s="13"/>
      <c r="I50" s="13"/>
      <c r="J50" s="13"/>
      <c r="K50" s="9" t="s">
        <v>3</v>
      </c>
    </row>
    <row r="51" spans="2:11" x14ac:dyDescent="0.3">
      <c r="B51" s="2">
        <v>49</v>
      </c>
      <c r="C51" s="14"/>
      <c r="D51" s="2" t="s">
        <v>171</v>
      </c>
      <c r="E51" s="13"/>
      <c r="F51" s="13"/>
      <c r="G51" s="13"/>
      <c r="H51" s="13"/>
      <c r="I51" s="13"/>
      <c r="J51" s="13"/>
      <c r="K51" s="9" t="s">
        <v>3</v>
      </c>
    </row>
    <row r="52" spans="2:11" x14ac:dyDescent="0.3">
      <c r="B52" s="2">
        <v>50</v>
      </c>
      <c r="C52" s="14"/>
      <c r="D52" s="2" t="s">
        <v>172</v>
      </c>
      <c r="E52" s="13"/>
      <c r="F52" s="13"/>
      <c r="G52" s="13"/>
      <c r="H52" s="13"/>
      <c r="I52" s="13"/>
      <c r="J52" s="13"/>
      <c r="K52" s="9" t="s">
        <v>3</v>
      </c>
    </row>
    <row r="53" spans="2:11" x14ac:dyDescent="0.3">
      <c r="B53" s="2">
        <v>51</v>
      </c>
      <c r="C53" s="14"/>
      <c r="D53" s="2" t="s">
        <v>173</v>
      </c>
      <c r="E53" s="13"/>
      <c r="F53" s="13"/>
      <c r="G53" s="13"/>
      <c r="H53" s="13"/>
      <c r="I53" s="13"/>
      <c r="J53" s="13"/>
      <c r="K53" s="9" t="s">
        <v>3</v>
      </c>
    </row>
    <row r="54" spans="2:11" x14ac:dyDescent="0.3">
      <c r="B54" s="2">
        <v>52</v>
      </c>
      <c r="C54" s="14"/>
      <c r="D54" s="2" t="s">
        <v>174</v>
      </c>
      <c r="E54" s="13"/>
      <c r="F54" s="13"/>
      <c r="G54" s="13"/>
      <c r="H54" s="13"/>
      <c r="I54" s="13"/>
      <c r="J54" s="13"/>
      <c r="K54" s="9" t="s">
        <v>3</v>
      </c>
    </row>
    <row r="55" spans="2:11" x14ac:dyDescent="0.3">
      <c r="B55" s="2">
        <v>53</v>
      </c>
      <c r="C55" s="14"/>
      <c r="D55" s="2" t="s">
        <v>175</v>
      </c>
      <c r="E55" s="13"/>
      <c r="F55" s="13"/>
      <c r="G55" s="13"/>
      <c r="H55" s="13"/>
      <c r="I55" s="13"/>
      <c r="J55" s="13"/>
      <c r="K55" s="9" t="s">
        <v>3</v>
      </c>
    </row>
    <row r="56" spans="2:11" x14ac:dyDescent="0.3">
      <c r="B56" s="2">
        <v>54</v>
      </c>
      <c r="C56" s="14"/>
      <c r="D56" s="2" t="s">
        <v>176</v>
      </c>
      <c r="E56" s="13"/>
      <c r="F56" s="13"/>
      <c r="G56" s="13"/>
      <c r="H56" s="13"/>
      <c r="I56" s="13"/>
      <c r="J56" s="13"/>
      <c r="K56" s="9" t="s">
        <v>3</v>
      </c>
    </row>
    <row r="57" spans="2:11" x14ac:dyDescent="0.3">
      <c r="B57" s="2">
        <v>55</v>
      </c>
      <c r="C57" s="14"/>
      <c r="D57" s="2" t="s">
        <v>177</v>
      </c>
      <c r="E57" s="13"/>
      <c r="F57" s="13"/>
      <c r="G57" s="13"/>
      <c r="H57" s="13"/>
      <c r="I57" s="13"/>
      <c r="J57" s="13"/>
      <c r="K57" s="9" t="s">
        <v>3</v>
      </c>
    </row>
    <row r="58" spans="2:11" x14ac:dyDescent="0.3">
      <c r="B58" s="2">
        <v>56</v>
      </c>
      <c r="C58" s="14"/>
      <c r="D58" s="2" t="s">
        <v>178</v>
      </c>
      <c r="E58" s="13"/>
      <c r="F58" s="13"/>
      <c r="G58" s="13"/>
      <c r="H58" s="13"/>
      <c r="I58" s="13"/>
      <c r="J58" s="13"/>
      <c r="K58" s="9" t="s">
        <v>3</v>
      </c>
    </row>
    <row r="59" spans="2:11" x14ac:dyDescent="0.3">
      <c r="B59" s="2">
        <v>57</v>
      </c>
      <c r="C59" s="14"/>
      <c r="D59" s="2" t="s">
        <v>179</v>
      </c>
      <c r="E59" s="13"/>
      <c r="F59" s="13"/>
      <c r="G59" s="13"/>
      <c r="H59" s="13"/>
      <c r="I59" s="13"/>
      <c r="J59" s="13"/>
      <c r="K59" s="9" t="s">
        <v>3</v>
      </c>
    </row>
    <row r="60" spans="2:11" x14ac:dyDescent="0.3">
      <c r="B60" s="2">
        <v>58</v>
      </c>
      <c r="C60" s="14"/>
      <c r="D60" s="2" t="s">
        <v>180</v>
      </c>
      <c r="E60" s="13"/>
      <c r="F60" s="13"/>
      <c r="G60" s="13"/>
      <c r="H60" s="13"/>
      <c r="I60" s="13"/>
      <c r="J60" s="13"/>
      <c r="K60" s="9" t="s">
        <v>3</v>
      </c>
    </row>
    <row r="61" spans="2:11" x14ac:dyDescent="0.3">
      <c r="B61" s="2">
        <v>59</v>
      </c>
      <c r="C61" s="14"/>
      <c r="D61" s="2" t="s">
        <v>181</v>
      </c>
      <c r="E61" s="13"/>
      <c r="F61" s="13"/>
      <c r="G61" s="13"/>
      <c r="H61" s="13"/>
      <c r="I61" s="13"/>
      <c r="J61" s="13"/>
      <c r="K61" s="9" t="s">
        <v>3</v>
      </c>
    </row>
    <row r="62" spans="2:11" x14ac:dyDescent="0.3">
      <c r="B62" s="2">
        <v>60</v>
      </c>
      <c r="C62" s="14"/>
      <c r="D62" s="2" t="s">
        <v>182</v>
      </c>
      <c r="E62" s="13"/>
      <c r="F62" s="13"/>
      <c r="G62" s="13"/>
      <c r="H62" s="13"/>
      <c r="I62" s="13"/>
      <c r="J62" s="13"/>
      <c r="K62" s="9" t="s">
        <v>3</v>
      </c>
    </row>
    <row r="63" spans="2:11" x14ac:dyDescent="0.3">
      <c r="B63" s="2">
        <v>61</v>
      </c>
      <c r="C63" s="14"/>
      <c r="D63" s="2" t="s">
        <v>183</v>
      </c>
      <c r="E63" s="13"/>
      <c r="F63" s="13"/>
      <c r="G63" s="13"/>
      <c r="H63" s="13"/>
      <c r="I63" s="13"/>
      <c r="J63" s="13"/>
      <c r="K63" s="9" t="s">
        <v>3</v>
      </c>
    </row>
    <row r="64" spans="2:11" x14ac:dyDescent="0.3">
      <c r="B64" s="2">
        <v>62</v>
      </c>
      <c r="C64" s="14"/>
      <c r="D64" s="2" t="s">
        <v>184</v>
      </c>
      <c r="E64" s="13"/>
      <c r="F64" s="13"/>
      <c r="G64" s="13"/>
      <c r="H64" s="13"/>
      <c r="I64" s="13"/>
      <c r="J64" s="13"/>
      <c r="K64" s="9" t="s">
        <v>3</v>
      </c>
    </row>
    <row r="65" spans="2:11" x14ac:dyDescent="0.3">
      <c r="B65" s="2">
        <v>63</v>
      </c>
      <c r="C65" s="14"/>
      <c r="D65" s="2" t="s">
        <v>185</v>
      </c>
      <c r="E65" s="13"/>
      <c r="F65" s="13"/>
      <c r="G65" s="13"/>
      <c r="H65" s="13"/>
      <c r="I65" s="13"/>
      <c r="J65" s="13"/>
      <c r="K65" s="9" t="s">
        <v>3</v>
      </c>
    </row>
    <row r="66" spans="2:11" x14ac:dyDescent="0.3">
      <c r="B66" s="2">
        <v>64</v>
      </c>
      <c r="C66" s="14"/>
      <c r="D66" s="2" t="s">
        <v>186</v>
      </c>
      <c r="E66" s="13"/>
      <c r="F66" s="13"/>
      <c r="G66" s="13"/>
      <c r="H66" s="13"/>
      <c r="I66" s="13"/>
      <c r="J66" s="13"/>
      <c r="K66" s="9" t="s">
        <v>3</v>
      </c>
    </row>
    <row r="67" spans="2:11" x14ac:dyDescent="0.3">
      <c r="B67" s="2">
        <v>65</v>
      </c>
      <c r="C67" s="14"/>
      <c r="D67" s="2" t="s">
        <v>187</v>
      </c>
      <c r="E67" s="13"/>
      <c r="F67" s="13"/>
      <c r="G67" s="13"/>
      <c r="H67" s="13"/>
      <c r="I67" s="13"/>
      <c r="J67" s="13"/>
      <c r="K67" s="9" t="s">
        <v>3</v>
      </c>
    </row>
    <row r="68" spans="2:11" x14ac:dyDescent="0.3">
      <c r="B68" s="2">
        <v>66</v>
      </c>
      <c r="C68" s="14"/>
      <c r="D68" s="2" t="s">
        <v>188</v>
      </c>
      <c r="E68" s="13"/>
      <c r="F68" s="13"/>
      <c r="G68" s="13"/>
      <c r="H68" s="13"/>
      <c r="I68" s="13"/>
      <c r="J68" s="13"/>
      <c r="K68" s="9" t="s">
        <v>3</v>
      </c>
    </row>
    <row r="69" spans="2:11" x14ac:dyDescent="0.3">
      <c r="B69" s="2">
        <v>67</v>
      </c>
      <c r="C69" s="14"/>
      <c r="D69" s="2" t="s">
        <v>189</v>
      </c>
      <c r="E69" s="13"/>
      <c r="F69" s="13"/>
      <c r="G69" s="13"/>
      <c r="H69" s="13"/>
      <c r="I69" s="13"/>
      <c r="J69" s="13"/>
      <c r="K69" s="9" t="s">
        <v>3</v>
      </c>
    </row>
    <row r="70" spans="2:11" x14ac:dyDescent="0.3">
      <c r="B70" s="2">
        <v>68</v>
      </c>
      <c r="C70" s="14"/>
      <c r="D70" s="2" t="s">
        <v>190</v>
      </c>
      <c r="E70" s="13"/>
      <c r="F70" s="13"/>
      <c r="G70" s="13"/>
      <c r="H70" s="13"/>
      <c r="I70" s="13"/>
      <c r="J70" s="13"/>
      <c r="K70" s="9" t="s">
        <v>3</v>
      </c>
    </row>
    <row r="71" spans="2:11" x14ac:dyDescent="0.3">
      <c r="B71" s="2">
        <v>69</v>
      </c>
      <c r="C71" s="14"/>
      <c r="D71" s="2"/>
      <c r="E71" s="13"/>
      <c r="F71" s="13"/>
      <c r="G71" s="13"/>
      <c r="H71" s="13"/>
      <c r="I71" s="13"/>
      <c r="J71" s="13"/>
      <c r="K71" s="9" t="s">
        <v>3</v>
      </c>
    </row>
    <row r="72" spans="2:11" x14ac:dyDescent="0.3">
      <c r="B72" s="2">
        <v>70</v>
      </c>
      <c r="C72" s="14"/>
      <c r="D72" s="2"/>
      <c r="E72" s="13"/>
      <c r="F72" s="13"/>
      <c r="G72" s="13"/>
      <c r="H72" s="13"/>
      <c r="I72" s="13"/>
      <c r="J72" s="13"/>
      <c r="K72" s="9" t="s">
        <v>3</v>
      </c>
    </row>
    <row r="73" spans="2:11" x14ac:dyDescent="0.3">
      <c r="B73" s="2"/>
      <c r="C73" s="14"/>
      <c r="D73" s="2"/>
      <c r="E73" s="13"/>
      <c r="F73" s="13"/>
      <c r="G73" s="13"/>
      <c r="H73" s="13"/>
      <c r="I73" s="13"/>
      <c r="J73" s="13"/>
      <c r="K73" s="9" t="s">
        <v>3</v>
      </c>
    </row>
    <row r="74" spans="2:11" x14ac:dyDescent="0.3">
      <c r="B74" s="2"/>
      <c r="C74" s="14"/>
      <c r="D74" s="2"/>
      <c r="E74" s="13"/>
      <c r="F74" s="13"/>
      <c r="G74" s="13"/>
      <c r="H74" s="13"/>
      <c r="I74" s="13"/>
      <c r="J74" s="13"/>
      <c r="K74" s="9" t="s">
        <v>3</v>
      </c>
    </row>
    <row r="75" spans="2:11" x14ac:dyDescent="0.3">
      <c r="B75" s="2"/>
      <c r="C75" s="14"/>
      <c r="D75" s="2"/>
      <c r="E75" s="13"/>
      <c r="F75" s="13"/>
      <c r="G75" s="13"/>
      <c r="H75" s="13"/>
      <c r="I75" s="13"/>
      <c r="J75" s="13"/>
      <c r="K75" s="9" t="s">
        <v>3</v>
      </c>
    </row>
    <row r="76" spans="2:11" x14ac:dyDescent="0.3">
      <c r="B76" s="2"/>
      <c r="C76" s="14"/>
      <c r="D76" s="2"/>
      <c r="E76" s="13"/>
      <c r="F76" s="13"/>
      <c r="G76" s="13"/>
      <c r="H76" s="13"/>
      <c r="I76" s="13"/>
      <c r="J76" s="13"/>
      <c r="K76" s="9" t="s">
        <v>3</v>
      </c>
    </row>
    <row r="77" spans="2:11" x14ac:dyDescent="0.3">
      <c r="B77" s="2"/>
      <c r="C77" s="14"/>
      <c r="D77" s="2"/>
      <c r="E77" s="13"/>
      <c r="F77" s="13"/>
      <c r="G77" s="13"/>
      <c r="H77" s="13"/>
      <c r="I77" s="13"/>
      <c r="J77" s="13"/>
      <c r="K77" s="9" t="s">
        <v>3</v>
      </c>
    </row>
    <row r="78" spans="2:11" x14ac:dyDescent="0.3">
      <c r="B78" s="2"/>
      <c r="C78" s="14"/>
      <c r="D78" s="2"/>
      <c r="E78" s="13"/>
      <c r="F78" s="13"/>
      <c r="G78" s="13"/>
      <c r="H78" s="13"/>
      <c r="I78" s="13"/>
      <c r="J78" s="13"/>
      <c r="K78" s="9" t="s">
        <v>3</v>
      </c>
    </row>
    <row r="79" spans="2:11" x14ac:dyDescent="0.3">
      <c r="B79" s="2"/>
      <c r="C79" s="14"/>
      <c r="D79" s="2"/>
      <c r="E79" s="13"/>
      <c r="F79" s="13"/>
      <c r="G79" s="13"/>
      <c r="H79" s="13"/>
      <c r="I79" s="13"/>
      <c r="J79" s="13"/>
      <c r="K79" s="9" t="s">
        <v>3</v>
      </c>
    </row>
    <row r="80" spans="2:11" x14ac:dyDescent="0.3">
      <c r="B80" s="2"/>
      <c r="C80" s="14"/>
      <c r="D80" s="2"/>
      <c r="E80" s="13"/>
      <c r="F80" s="13"/>
      <c r="G80" s="13"/>
      <c r="H80" s="13"/>
      <c r="I80" s="13"/>
      <c r="J80" s="13"/>
      <c r="K80" s="9" t="s">
        <v>3</v>
      </c>
    </row>
    <row r="81" spans="2:11" x14ac:dyDescent="0.3">
      <c r="B81" s="2"/>
      <c r="C81" s="14"/>
      <c r="D81" s="2"/>
      <c r="E81" s="13"/>
      <c r="F81" s="13"/>
      <c r="G81" s="13"/>
      <c r="H81" s="13"/>
      <c r="I81" s="13"/>
      <c r="J81" s="13"/>
      <c r="K81" s="9" t="s">
        <v>3</v>
      </c>
    </row>
    <row r="82" spans="2:11" x14ac:dyDescent="0.3">
      <c r="B82" s="2"/>
      <c r="C82" s="14"/>
      <c r="D82" s="2"/>
      <c r="E82" s="13"/>
      <c r="F82" s="13"/>
      <c r="G82" s="13"/>
      <c r="H82" s="13"/>
      <c r="I82" s="13"/>
      <c r="J82" s="13"/>
      <c r="K82" s="9" t="s">
        <v>3</v>
      </c>
    </row>
    <row r="83" spans="2:11" x14ac:dyDescent="0.3">
      <c r="B83" s="2"/>
      <c r="C83" s="14"/>
      <c r="D83" s="2"/>
      <c r="E83" s="13"/>
      <c r="F83" s="13"/>
      <c r="G83" s="13"/>
      <c r="H83" s="13"/>
      <c r="I83" s="13"/>
      <c r="J83" s="13"/>
      <c r="K83" s="9" t="s">
        <v>3</v>
      </c>
    </row>
    <row r="84" spans="2:11" x14ac:dyDescent="0.3">
      <c r="B84" s="2"/>
      <c r="C84" s="14"/>
      <c r="D84" s="2"/>
      <c r="E84" s="13"/>
      <c r="F84" s="13"/>
      <c r="G84" s="13"/>
      <c r="H84" s="13"/>
      <c r="I84" s="13"/>
      <c r="J84" s="13"/>
      <c r="K84" s="9" t="s">
        <v>3</v>
      </c>
    </row>
    <row r="85" spans="2:11" x14ac:dyDescent="0.3">
      <c r="B85" s="2"/>
      <c r="C85" s="14"/>
      <c r="D85" s="2"/>
      <c r="E85" s="13"/>
      <c r="F85" s="13"/>
      <c r="G85" s="13"/>
      <c r="H85" s="13"/>
      <c r="I85" s="13"/>
      <c r="J85" s="13"/>
      <c r="K85" s="9" t="s">
        <v>3</v>
      </c>
    </row>
    <row r="86" spans="2:11" x14ac:dyDescent="0.3">
      <c r="B86" s="2"/>
      <c r="C86" s="14"/>
      <c r="D86" s="2"/>
      <c r="E86" s="13"/>
      <c r="F86" s="13"/>
      <c r="G86" s="13"/>
      <c r="H86" s="13"/>
      <c r="I86" s="13"/>
      <c r="J86" s="13"/>
      <c r="K86" s="9" t="s">
        <v>3</v>
      </c>
    </row>
    <row r="87" spans="2:11" x14ac:dyDescent="0.3">
      <c r="B87" s="2"/>
      <c r="C87" s="14"/>
      <c r="D87" s="2"/>
      <c r="E87" s="13"/>
      <c r="F87" s="13"/>
      <c r="G87" s="13"/>
      <c r="H87" s="13"/>
      <c r="I87" s="13"/>
      <c r="J87" s="13"/>
      <c r="K87" s="9" t="s">
        <v>3</v>
      </c>
    </row>
    <row r="88" spans="2:11" x14ac:dyDescent="0.3">
      <c r="B88" s="2"/>
      <c r="C88" s="14"/>
      <c r="D88" s="2"/>
      <c r="E88" s="13"/>
      <c r="F88" s="13"/>
      <c r="G88" s="13"/>
      <c r="H88" s="13"/>
      <c r="I88" s="13"/>
      <c r="J88" s="13"/>
      <c r="K88" s="9" t="s">
        <v>3</v>
      </c>
    </row>
    <row r="89" spans="2:11" x14ac:dyDescent="0.3">
      <c r="B89" s="2"/>
      <c r="C89" s="14"/>
      <c r="D89" s="2"/>
      <c r="E89" s="13"/>
      <c r="F89" s="13"/>
      <c r="G89" s="13"/>
      <c r="H89" s="13"/>
      <c r="I89" s="13"/>
      <c r="J89" s="13"/>
      <c r="K89" s="9" t="s">
        <v>3</v>
      </c>
    </row>
    <row r="90" spans="2:11" x14ac:dyDescent="0.3">
      <c r="B90" s="14"/>
      <c r="C90" s="14"/>
      <c r="D90" s="14"/>
      <c r="E90" s="14"/>
      <c r="F90" s="14"/>
      <c r="G90" s="14"/>
      <c r="H90" s="14"/>
      <c r="I90" s="14"/>
      <c r="J90" s="14"/>
    </row>
    <row r="91" spans="2:11" x14ac:dyDescent="0.3">
      <c r="B91" s="14"/>
      <c r="C91" s="14"/>
      <c r="D91" s="14"/>
      <c r="E91" s="14"/>
      <c r="F91" s="14"/>
      <c r="G91" s="14"/>
      <c r="H91" s="14"/>
      <c r="I91" s="14"/>
      <c r="J91" s="14"/>
    </row>
    <row r="92" spans="2:11" x14ac:dyDescent="0.3">
      <c r="B92" s="14"/>
      <c r="C92" s="14"/>
      <c r="D92" s="14"/>
      <c r="E92" s="14"/>
      <c r="F92" s="14"/>
      <c r="G92" s="14"/>
      <c r="H92" s="14"/>
      <c r="I92" s="14"/>
      <c r="J92" s="14"/>
    </row>
    <row r="93" spans="2:11" x14ac:dyDescent="0.3">
      <c r="B93" s="14"/>
      <c r="C93" s="14"/>
      <c r="D93" s="14"/>
      <c r="E93" s="14"/>
      <c r="F93" s="14"/>
      <c r="G93" s="14"/>
      <c r="H93" s="14"/>
      <c r="I93" s="14"/>
      <c r="J93" s="14"/>
    </row>
    <row r="94" spans="2:11" x14ac:dyDescent="0.3">
      <c r="B94" s="14"/>
      <c r="C94" s="14"/>
      <c r="D94" s="14"/>
      <c r="E94" s="14"/>
      <c r="F94" s="14"/>
      <c r="G94" s="14"/>
      <c r="H94" s="14"/>
      <c r="I94" s="14"/>
      <c r="J94" s="14"/>
    </row>
    <row r="95" spans="2:11" x14ac:dyDescent="0.3">
      <c r="B95" s="14"/>
      <c r="C95" s="14"/>
      <c r="D95" s="14"/>
      <c r="E95" s="14"/>
      <c r="F95" s="14"/>
      <c r="G95" s="14"/>
      <c r="H95" s="14"/>
      <c r="I95" s="14"/>
      <c r="J95" s="14"/>
    </row>
    <row r="96" spans="2:11" x14ac:dyDescent="0.3">
      <c r="B96" s="14"/>
      <c r="C96" s="14"/>
      <c r="D96" s="14"/>
      <c r="E96" s="14"/>
      <c r="F96" s="14"/>
      <c r="G96" s="14"/>
      <c r="H96" s="14"/>
      <c r="I96" s="14"/>
      <c r="J96" s="14"/>
    </row>
    <row r="97" spans="2:10" x14ac:dyDescent="0.3">
      <c r="B97" s="14"/>
      <c r="C97" s="14"/>
      <c r="D97" s="14"/>
      <c r="E97" s="14"/>
      <c r="F97" s="14"/>
      <c r="G97" s="14"/>
      <c r="H97" s="14"/>
      <c r="I97" s="14"/>
      <c r="J97" s="14"/>
    </row>
    <row r="98" spans="2:10" x14ac:dyDescent="0.3">
      <c r="B98" s="14"/>
      <c r="C98" s="14"/>
      <c r="D98" s="14"/>
      <c r="E98" s="14"/>
      <c r="F98" s="14"/>
      <c r="G98" s="14"/>
      <c r="H98" s="14"/>
      <c r="I98" s="14"/>
      <c r="J98" s="14"/>
    </row>
    <row r="99" spans="2:10" x14ac:dyDescent="0.3">
      <c r="B99" s="14"/>
      <c r="C99" s="14"/>
      <c r="D99" s="14"/>
      <c r="E99" s="14"/>
      <c r="F99" s="14"/>
      <c r="G99" s="14"/>
      <c r="H99" s="14"/>
      <c r="I99" s="14"/>
      <c r="J99" s="14"/>
    </row>
    <row r="100" spans="2:10" x14ac:dyDescent="0.3"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2:10" x14ac:dyDescent="0.3"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2:10" x14ac:dyDescent="0.3"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2:10" x14ac:dyDescent="0.3"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2:10" x14ac:dyDescent="0.3"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2:10" x14ac:dyDescent="0.3"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2:10" x14ac:dyDescent="0.3"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2:10" x14ac:dyDescent="0.3"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2:10" x14ac:dyDescent="0.3"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2:10" x14ac:dyDescent="0.3"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2:10" x14ac:dyDescent="0.3"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2:10" x14ac:dyDescent="0.3"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2:10" x14ac:dyDescent="0.3"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2:10" x14ac:dyDescent="0.3"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2:10" x14ac:dyDescent="0.3"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2:10" x14ac:dyDescent="0.3"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2:10" x14ac:dyDescent="0.3"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2:10" x14ac:dyDescent="0.3"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2:10" x14ac:dyDescent="0.3"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2:10" x14ac:dyDescent="0.3"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2:10" x14ac:dyDescent="0.3"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2:10" x14ac:dyDescent="0.3"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2:10" x14ac:dyDescent="0.3"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2:10" x14ac:dyDescent="0.3"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2:10" x14ac:dyDescent="0.3"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2:10" x14ac:dyDescent="0.3"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2:10" x14ac:dyDescent="0.3"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2:10" x14ac:dyDescent="0.3"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2:10" x14ac:dyDescent="0.3">
      <c r="B128" s="14"/>
      <c r="C128" s="14"/>
      <c r="D128" s="14"/>
      <c r="E128" s="14"/>
      <c r="F128" s="14"/>
      <c r="G128" s="14"/>
      <c r="H128" s="14"/>
      <c r="I128" s="14"/>
      <c r="J128" s="14"/>
    </row>
  </sheetData>
  <phoneticPr fontId="4" type="noConversion"/>
  <conditionalFormatting sqref="K3:K89">
    <cfRule type="cellIs" dxfId="1" priority="1" operator="equal">
      <formula>"Not Tested"</formula>
    </cfRule>
    <cfRule type="cellIs" dxfId="0" priority="2" operator="equal">
      <formula>"Fail"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Enums!$B$8:$B$10</xm:f>
          </x14:formula1>
          <xm:sqref>E3:E5</xm:sqref>
        </x14:dataValidation>
        <x14:dataValidation type="list" allowBlank="1" showInputMessage="1" showErrorMessage="1" xr:uid="{00000000-0002-0000-0100-000001000000}">
          <x14:formula1>
            <xm:f>Enums!$B$2:$B$4</xm:f>
          </x14:formula1>
          <xm:sqref>K3:K89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0"/>
  <sheetViews>
    <sheetView workbookViewId="0">
      <selection activeCell="B5" sqref="B5"/>
    </sheetView>
  </sheetViews>
  <sheetFormatPr defaultColWidth="11.44140625" defaultRowHeight="14.4" x14ac:dyDescent="0.3"/>
  <sheetData>
    <row r="2" spans="2:2" x14ac:dyDescent="0.3">
      <c r="B2" t="s">
        <v>14</v>
      </c>
    </row>
    <row r="3" spans="2:2" x14ac:dyDescent="0.3">
      <c r="B3" t="s">
        <v>15</v>
      </c>
    </row>
    <row r="4" spans="2:2" x14ac:dyDescent="0.3">
      <c r="B4" t="s">
        <v>3</v>
      </c>
    </row>
    <row r="8" spans="2:2" x14ac:dyDescent="0.3">
      <c r="B8" t="s">
        <v>16</v>
      </c>
    </row>
    <row r="9" spans="2:2" x14ac:dyDescent="0.3">
      <c r="B9" t="s">
        <v>13</v>
      </c>
    </row>
    <row r="10" spans="2:2" x14ac:dyDescent="0.3">
      <c r="B10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8C8DDAE8BD44A422697963F06C45" ma:contentTypeVersion="6" ma:contentTypeDescription="Create a new document." ma:contentTypeScope="" ma:versionID="b6816e004dbb89c674e51f5647972552">
  <xsd:schema xmlns:xsd="http://www.w3.org/2001/XMLSchema" xmlns:xs="http://www.w3.org/2001/XMLSchema" xmlns:p="http://schemas.microsoft.com/office/2006/metadata/properties" xmlns:ns2="2b02348f-b4e3-458c-83fc-9e90db0f8029" targetNamespace="http://schemas.microsoft.com/office/2006/metadata/properties" ma:root="true" ma:fieldsID="e6418ca14ac9ee17b8bbf6df78e0c223" ns2:_="">
    <xsd:import namespace="2b02348f-b4e3-458c-83fc-9e90db0f8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348f-b4e3-458c-83fc-9e90db0f8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DB6385-31B2-4574-9AA4-BF13B563A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348f-b4e3-458c-83fc-9e90db0f8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9B513B-8BED-4B59-B224-E0A2C6173D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DB72C7-DF0B-4E18-8174-00AB852E6FB4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2b02348f-b4e3-458c-83fc-9e90db0f8029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Test Report</vt:lpstr>
      <vt:lpstr>Test Cases &amp; Results</vt:lpstr>
      <vt:lpstr>Enums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2026-01-02T14:33:20Z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</Properties>
</file>